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vings Comparision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<sst xmlns="http://schemas.openxmlformats.org/spreadsheetml/2006/main" count="23" uniqueCount="19">
  <si>
    <t xml:space="preserve">Savings Comparison </t>
  </si>
  <si>
    <t xml:space="preserve">Data Points : </t>
  </si>
  <si>
    <t xml:space="preserve">Yearly income hike </t>
  </si>
  <si>
    <t xml:space="preserve">Yearly expense hike </t>
  </si>
  <si>
    <t xml:space="preserve">No of working years</t>
  </si>
  <si>
    <t xml:space="preserve">Starting yearly salary</t>
  </si>
  <si>
    <t xml:space="preserve">Starting yearly expense </t>
  </si>
  <si>
    <t xml:space="preserve">Savings rate </t>
  </si>
  <si>
    <t xml:space="preserve">No investments : </t>
  </si>
  <si>
    <t xml:space="preserve">With Investments :</t>
  </si>
  <si>
    <t xml:space="preserve">Years</t>
  </si>
  <si>
    <t xml:space="preserve">Yearly Income</t>
  </si>
  <si>
    <t xml:space="preserve">Yearly Expense </t>
  </si>
  <si>
    <t xml:space="preserve">Savings </t>
  </si>
  <si>
    <t xml:space="preserve">Savings</t>
  </si>
  <si>
    <t xml:space="preserve">Savings invested @ 12%</t>
  </si>
  <si>
    <t xml:space="preserve">Total Savings </t>
  </si>
  <si>
    <t xml:space="preserve">Total savings in Crs</t>
  </si>
  <si>
    <t xml:space="preserve">Total Savings in Crs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</si>
</sst>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_ * #,##0.00_ ;_ * \-#,##0.00_ ;_ * \-??_ ;_ @_ "/>
    <numFmt numFmtId="167" formatCode="_ * #,##0_ ;_ * \-#,##0_ ;_ * \-??_ ;_ @_ 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1"/>
      <color rgb="FF70AD47"/>
      <name val="Calibri"/>
      <family val="2"/>
      <charset val="1"/>
    </font>
    <font>
      <sz val="11"/>
      <color rgb="FF70AD47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AE3F3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5" activeCellId="0" sqref="D35"/>
    </sheetView>
  </sheetViews>
  <sheetFormatPr defaultColWidth="8.6796875" defaultRowHeight="14.25" zeroHeight="false" outlineLevelRow="0" outlineLevelCol="0"/>
  <cols>
    <col collapsed="false" customWidth="true" hidden="false" outlineLevel="0" max="2" min="1" style="0" width="2.88"/>
    <col collapsed="false" customWidth="true" hidden="false" outlineLevel="0" max="3" min="3" style="0" width="7.33"/>
    <col collapsed="false" customWidth="true" hidden="false" outlineLevel="0" max="4" min="4" style="0" width="13.67"/>
    <col collapsed="false" customWidth="true" hidden="false" outlineLevel="0" max="5" min="5" style="0" width="15.88"/>
    <col collapsed="false" customWidth="true" hidden="false" outlineLevel="0" max="6" min="6" style="0" width="14.92"/>
    <col collapsed="false" customWidth="true" hidden="false" outlineLevel="0" max="7" min="7" style="0" width="11.89"/>
    <col collapsed="false" customWidth="true" hidden="false" outlineLevel="0" max="8" min="8" style="0" width="3.44"/>
    <col collapsed="false" customWidth="true" hidden="false" outlineLevel="0" max="11" min="10" style="0" width="16.89"/>
    <col collapsed="false" customWidth="true" hidden="false" outlineLevel="0" max="13" min="12" style="0" width="21.33"/>
  </cols>
  <sheetData>
    <row r="1" customFormat="false" ht="18" hidden="false" customHeight="false" outlineLevel="0" collapsed="false">
      <c r="A1" s="1" t="s">
        <v>0</v>
      </c>
    </row>
    <row r="2" customFormat="false" ht="2.25" hidden="false" customHeight="true" outlineLevel="0" collapsed="false">
      <c r="A2" s="1"/>
    </row>
    <row r="3" customFormat="false" ht="4.5" hidden="false" customHeight="true" outlineLevel="0" collapsed="false">
      <c r="A3" s="2"/>
      <c r="B3" s="2"/>
      <c r="C3" s="2"/>
      <c r="D3" s="2"/>
      <c r="E3" s="3"/>
    </row>
    <row r="4" customFormat="false" ht="14.25" hidden="false" customHeight="false" outlineLevel="0" collapsed="false">
      <c r="A4" s="4"/>
      <c r="B4" s="5" t="s">
        <v>1</v>
      </c>
      <c r="C4" s="4"/>
      <c r="D4" s="4"/>
      <c r="E4" s="3"/>
    </row>
    <row r="5" customFormat="false" ht="13.8" hidden="false" customHeight="false" outlineLevel="0" collapsed="false">
      <c r="C5" s="6" t="s">
        <v>2</v>
      </c>
      <c r="D5" s="6"/>
      <c r="E5" s="7" t="n">
        <v>0.1</v>
      </c>
    </row>
    <row r="6" customFormat="false" ht="13.8" hidden="false" customHeight="false" outlineLevel="0" collapsed="false">
      <c r="C6" s="6" t="s">
        <v>3</v>
      </c>
      <c r="D6" s="6"/>
      <c r="E6" s="7" t="n">
        <v>0.08</v>
      </c>
    </row>
    <row r="7" customFormat="false" ht="13.8" hidden="false" customHeight="false" outlineLevel="0" collapsed="false">
      <c r="C7" s="6" t="s">
        <v>4</v>
      </c>
      <c r="D7" s="6"/>
      <c r="E7" s="8" t="n">
        <v>20</v>
      </c>
    </row>
    <row r="8" customFormat="false" ht="13.8" hidden="false" customHeight="false" outlineLevel="0" collapsed="false">
      <c r="C8" s="9" t="s">
        <v>5</v>
      </c>
      <c r="D8" s="9"/>
      <c r="E8" s="10" t="n">
        <v>600000</v>
      </c>
    </row>
    <row r="9" customFormat="false" ht="13.8" hidden="false" customHeight="false" outlineLevel="0" collapsed="false">
      <c r="C9" s="9" t="s">
        <v>6</v>
      </c>
      <c r="D9" s="9"/>
      <c r="E9" s="10" t="n">
        <v>360000</v>
      </c>
    </row>
    <row r="10" customFormat="false" ht="13.8" hidden="false" customHeight="false" outlineLevel="0" collapsed="false">
      <c r="C10" s="9" t="s">
        <v>7</v>
      </c>
      <c r="D10" s="9"/>
      <c r="E10" s="11" t="n">
        <v>0.12</v>
      </c>
    </row>
    <row r="12" customFormat="false" ht="14.25" hidden="false" customHeight="false" outlineLevel="0" collapsed="false">
      <c r="D12" s="12" t="s">
        <v>8</v>
      </c>
      <c r="E12" s="13"/>
      <c r="I12" s="12" t="s">
        <v>9</v>
      </c>
    </row>
    <row r="13" customFormat="false" ht="14.25" hidden="false" customHeight="false" outlineLevel="0" collapsed="false">
      <c r="D13" s="14" t="s">
        <v>10</v>
      </c>
      <c r="E13" s="14" t="s">
        <v>11</v>
      </c>
      <c r="F13" s="14" t="s">
        <v>12</v>
      </c>
      <c r="G13" s="14" t="s">
        <v>13</v>
      </c>
      <c r="I13" s="14" t="s">
        <v>10</v>
      </c>
      <c r="J13" s="14" t="s">
        <v>11</v>
      </c>
      <c r="K13" s="14" t="s">
        <v>12</v>
      </c>
      <c r="L13" s="14" t="s">
        <v>14</v>
      </c>
      <c r="M13" s="14" t="s">
        <v>15</v>
      </c>
    </row>
    <row r="14" customFormat="false" ht="14.25" hidden="false" customHeight="false" outlineLevel="0" collapsed="false">
      <c r="D14" s="15" t="n">
        <v>1</v>
      </c>
      <c r="E14" s="16" t="n">
        <f aca="false">E8</f>
        <v>600000</v>
      </c>
      <c r="F14" s="16" t="n">
        <f aca="false">E9</f>
        <v>360000</v>
      </c>
      <c r="G14" s="16" t="n">
        <f aca="false">E14-F14</f>
        <v>240000</v>
      </c>
      <c r="I14" s="15" t="n">
        <v>1</v>
      </c>
      <c r="J14" s="16" t="n">
        <f aca="false">E8</f>
        <v>600000</v>
      </c>
      <c r="K14" s="16" t="n">
        <f aca="false">E9</f>
        <v>360000</v>
      </c>
      <c r="L14" s="16" t="n">
        <f aca="false">J14-K14</f>
        <v>240000</v>
      </c>
      <c r="M14" s="16" t="n">
        <f aca="false">L14*(1+$E$10)^(I33-I14)</f>
        <v>2067062.80570177</v>
      </c>
    </row>
    <row r="15" customFormat="false" ht="14.25" hidden="false" customHeight="false" outlineLevel="0" collapsed="false">
      <c r="D15" s="15" t="n">
        <v>2</v>
      </c>
      <c r="E15" s="16" t="n">
        <f aca="false">E14*(1+$E$5)</f>
        <v>660000</v>
      </c>
      <c r="F15" s="16" t="n">
        <f aca="false">F14*(1+$E$6)</f>
        <v>388800</v>
      </c>
      <c r="G15" s="16" t="n">
        <f aca="false">E15-F15</f>
        <v>271200</v>
      </c>
      <c r="I15" s="15" t="n">
        <v>2</v>
      </c>
      <c r="J15" s="16" t="n">
        <f aca="false">J14*(1+$E$5)</f>
        <v>660000</v>
      </c>
      <c r="K15" s="16" t="n">
        <f aca="false">K14*(1+$E$6)</f>
        <v>388800</v>
      </c>
      <c r="L15" s="16" t="n">
        <f aca="false">J15-K15</f>
        <v>271200</v>
      </c>
      <c r="M15" s="16" t="n">
        <f aca="false">L15*(1+$E$10)^($I$33-I15)</f>
        <v>2085518.72360983</v>
      </c>
    </row>
    <row r="16" customFormat="false" ht="14.25" hidden="false" customHeight="false" outlineLevel="0" collapsed="false">
      <c r="D16" s="15" t="n">
        <v>3</v>
      </c>
      <c r="E16" s="16" t="n">
        <f aca="false">E15*(1+$E$5)</f>
        <v>726000</v>
      </c>
      <c r="F16" s="16" t="n">
        <f aca="false">F15*(1+$E$6)</f>
        <v>419904</v>
      </c>
      <c r="G16" s="16" t="n">
        <f aca="false">E16-F16</f>
        <v>306096</v>
      </c>
      <c r="I16" s="15" t="n">
        <v>3</v>
      </c>
      <c r="J16" s="16" t="n">
        <f aca="false">J15*(1+$E$5)</f>
        <v>726000</v>
      </c>
      <c r="K16" s="16" t="n">
        <f aca="false">K15*(1+$E$6)</f>
        <v>419904</v>
      </c>
      <c r="L16" s="16" t="n">
        <f aca="false">J16-K16</f>
        <v>306096</v>
      </c>
      <c r="M16" s="16" t="n">
        <f aca="false">L16*(1+$E$10)^($I$33-I16)</f>
        <v>2101667.65177937</v>
      </c>
    </row>
    <row r="17" customFormat="false" ht="14.25" hidden="false" customHeight="false" outlineLevel="0" collapsed="false">
      <c r="D17" s="15" t="n">
        <v>4</v>
      </c>
      <c r="E17" s="16" t="n">
        <f aca="false">E16*(1+$E$5)</f>
        <v>798600</v>
      </c>
      <c r="F17" s="16" t="n">
        <f aca="false">F16*(1+$E$6)</f>
        <v>453496.32</v>
      </c>
      <c r="G17" s="16" t="n">
        <f aca="false">E17-F17</f>
        <v>345103.68</v>
      </c>
      <c r="I17" s="15" t="n">
        <v>4</v>
      </c>
      <c r="J17" s="16" t="n">
        <f aca="false">J16*(1+$E$5)</f>
        <v>798600</v>
      </c>
      <c r="K17" s="16" t="n">
        <f aca="false">K16*(1+$E$6)</f>
        <v>453496.32</v>
      </c>
      <c r="L17" s="16" t="n">
        <f aca="false">J17-K17</f>
        <v>345103.68</v>
      </c>
      <c r="M17" s="16" t="n">
        <f aca="false">L17*(1+$E$10)^($I$33-I17)</f>
        <v>2115621.40859059</v>
      </c>
    </row>
    <row r="18" customFormat="false" ht="14.25" hidden="false" customHeight="false" outlineLevel="0" collapsed="false">
      <c r="D18" s="15" t="n">
        <v>5</v>
      </c>
      <c r="E18" s="16" t="n">
        <f aca="false">E17*(1+$E$5)</f>
        <v>878460</v>
      </c>
      <c r="F18" s="16" t="n">
        <f aca="false">F17*(1+$E$6)</f>
        <v>489776.0256</v>
      </c>
      <c r="G18" s="16" t="n">
        <f aca="false">E18-F18</f>
        <v>388683.9744</v>
      </c>
      <c r="I18" s="15" t="n">
        <v>5</v>
      </c>
      <c r="J18" s="16" t="n">
        <f aca="false">J17*(1+$E$5)</f>
        <v>878460</v>
      </c>
      <c r="K18" s="16" t="n">
        <f aca="false">K17*(1+$E$6)</f>
        <v>489776.0256</v>
      </c>
      <c r="L18" s="16" t="n">
        <f aca="false">J18-K18</f>
        <v>388683.9744</v>
      </c>
      <c r="M18" s="16" t="n">
        <f aca="false">L18*(1+$E$10)^($I$33-I18)</f>
        <v>2127487.29344778</v>
      </c>
    </row>
    <row r="19" customFormat="false" ht="14.25" hidden="false" customHeight="false" outlineLevel="0" collapsed="false">
      <c r="D19" s="15" t="n">
        <v>6</v>
      </c>
      <c r="E19" s="16" t="n">
        <f aca="false">E18*(1+$E$5)</f>
        <v>966306.000000001</v>
      </c>
      <c r="F19" s="16" t="n">
        <f aca="false">F18*(1+$E$6)</f>
        <v>528958.107648</v>
      </c>
      <c r="G19" s="16" t="n">
        <f aca="false">E19-F19</f>
        <v>437347.892352</v>
      </c>
      <c r="I19" s="15" t="n">
        <v>6</v>
      </c>
      <c r="J19" s="16" t="n">
        <f aca="false">J18*(1+$E$5)</f>
        <v>966306.000000001</v>
      </c>
      <c r="K19" s="16" t="n">
        <f aca="false">K18*(1+$E$6)</f>
        <v>528958.107648</v>
      </c>
      <c r="L19" s="16" t="n">
        <f aca="false">J19-K19</f>
        <v>437347.892352</v>
      </c>
      <c r="M19" s="16" t="n">
        <f aca="false">L19*(1+$E$10)^($I$33-I19)</f>
        <v>2137368.25755459</v>
      </c>
    </row>
    <row r="20" customFormat="false" ht="14.25" hidden="false" customHeight="false" outlineLevel="0" collapsed="false">
      <c r="D20" s="15" t="n">
        <v>7</v>
      </c>
      <c r="E20" s="16" t="n">
        <f aca="false">E19*(1+$E$5)</f>
        <v>1062936.6</v>
      </c>
      <c r="F20" s="16" t="n">
        <f aca="false">F19*(1+$E$6)</f>
        <v>571274.75625984</v>
      </c>
      <c r="G20" s="16" t="n">
        <f aca="false">E20-F20</f>
        <v>491661.84374016</v>
      </c>
      <c r="I20" s="15" t="n">
        <v>7</v>
      </c>
      <c r="J20" s="16" t="n">
        <f aca="false">J19*(1+$E$5)</f>
        <v>1062936.6</v>
      </c>
      <c r="K20" s="16" t="n">
        <f aca="false">K19*(1+$E$6)</f>
        <v>571274.75625984</v>
      </c>
      <c r="L20" s="16" t="n">
        <f aca="false">J20-K20</f>
        <v>491661.84374016</v>
      </c>
      <c r="M20" s="16" t="n">
        <f aca="false">L20*(1+$E$10)^($I$33-I20)</f>
        <v>2145363.06842262</v>
      </c>
    </row>
    <row r="21" customFormat="false" ht="14.25" hidden="false" customHeight="false" outlineLevel="0" collapsed="false">
      <c r="D21" s="15" t="n">
        <v>8</v>
      </c>
      <c r="E21" s="16" t="n">
        <f aca="false">E20*(1+$E$5)</f>
        <v>1169230.26</v>
      </c>
      <c r="F21" s="16" t="n">
        <f aca="false">F20*(1+$E$6)</f>
        <v>616976.736760628</v>
      </c>
      <c r="G21" s="16" t="n">
        <f aca="false">E21-F21</f>
        <v>552253.523239373</v>
      </c>
      <c r="I21" s="15" t="n">
        <v>8</v>
      </c>
      <c r="J21" s="16" t="n">
        <f aca="false">J20*(1+$E$5)</f>
        <v>1169230.26</v>
      </c>
      <c r="K21" s="16" t="n">
        <f aca="false">K20*(1+$E$6)</f>
        <v>616976.736760628</v>
      </c>
      <c r="L21" s="16" t="n">
        <f aca="false">J21-K21</f>
        <v>552253.523239373</v>
      </c>
      <c r="M21" s="16" t="n">
        <f aca="false">L21*(1+$E$10)^($I$33-I21)</f>
        <v>2151566.46834008</v>
      </c>
    </row>
    <row r="22" customFormat="false" ht="14.25" hidden="false" customHeight="false" outlineLevel="0" collapsed="false">
      <c r="D22" s="15" t="n">
        <v>9</v>
      </c>
      <c r="E22" s="16" t="n">
        <f aca="false">E21*(1+$E$5)</f>
        <v>1286153.286</v>
      </c>
      <c r="F22" s="16" t="n">
        <f aca="false">F21*(1+$E$6)</f>
        <v>666334.875701478</v>
      </c>
      <c r="G22" s="16" t="n">
        <f aca="false">E22-F22</f>
        <v>619818.410298523</v>
      </c>
      <c r="I22" s="15" t="n">
        <v>9</v>
      </c>
      <c r="J22" s="16" t="n">
        <f aca="false">J21*(1+$E$5)</f>
        <v>1286153.286</v>
      </c>
      <c r="K22" s="16" t="n">
        <f aca="false">K21*(1+$E$6)</f>
        <v>666334.875701478</v>
      </c>
      <c r="L22" s="16" t="n">
        <f aca="false">J22-K22</f>
        <v>619818.410298523</v>
      </c>
      <c r="M22" s="16" t="n">
        <f aca="false">L22*(1+$E$10)^($I$33-I22)</f>
        <v>2156069.32701936</v>
      </c>
    </row>
    <row r="23" customFormat="false" ht="14.25" hidden="false" customHeight="false" outlineLevel="0" collapsed="false">
      <c r="D23" s="15" t="n">
        <v>10</v>
      </c>
      <c r="E23" s="16" t="n">
        <f aca="false">E22*(1+$E$5)</f>
        <v>1414768.6146</v>
      </c>
      <c r="F23" s="16" t="n">
        <f aca="false">F22*(1+$E$6)</f>
        <v>719641.665757596</v>
      </c>
      <c r="G23" s="16" t="n">
        <f aca="false">E23-F23</f>
        <v>695126.948842405</v>
      </c>
      <c r="I23" s="15" t="n">
        <v>10</v>
      </c>
      <c r="J23" s="16" t="n">
        <f aca="false">J22*(1+$E$5)</f>
        <v>1414768.6146</v>
      </c>
      <c r="K23" s="16" t="n">
        <f aca="false">K22*(1+$E$6)</f>
        <v>719641.665757596</v>
      </c>
      <c r="L23" s="16" t="n">
        <f aca="false">J23-K23</f>
        <v>695126.948842405</v>
      </c>
      <c r="M23" s="16" t="n">
        <f aca="false">L23*(1+$E$10)^($I$33-I23)</f>
        <v>2158958.78863396</v>
      </c>
    </row>
    <row r="24" customFormat="false" ht="14.25" hidden="false" customHeight="false" outlineLevel="0" collapsed="false">
      <c r="D24" s="15" t="n">
        <v>11</v>
      </c>
      <c r="E24" s="16" t="n">
        <f aca="false">E23*(1+$E$5)</f>
        <v>1556245.47606</v>
      </c>
      <c r="F24" s="16" t="n">
        <f aca="false">F23*(1+$E$6)</f>
        <v>777212.999018204</v>
      </c>
      <c r="G24" s="16" t="n">
        <f aca="false">E24-F24</f>
        <v>779032.477041797</v>
      </c>
      <c r="I24" s="15" t="n">
        <v>11</v>
      </c>
      <c r="J24" s="16" t="n">
        <f aca="false">J23*(1+$E$5)</f>
        <v>1556245.47606</v>
      </c>
      <c r="K24" s="16" t="n">
        <f aca="false">K23*(1+$E$6)</f>
        <v>777212.999018204</v>
      </c>
      <c r="L24" s="16" t="n">
        <f aca="false">J24-K24</f>
        <v>779032.477041797</v>
      </c>
      <c r="M24" s="16" t="n">
        <f aca="false">L24*(1+$E$10)^($I$33-I24)</f>
        <v>2160318.41344841</v>
      </c>
    </row>
    <row r="25" customFormat="false" ht="14.25" hidden="false" customHeight="false" outlineLevel="0" collapsed="false">
      <c r="D25" s="15" t="n">
        <v>12</v>
      </c>
      <c r="E25" s="16" t="n">
        <f aca="false">E24*(1+$E$5)</f>
        <v>1711870.023666</v>
      </c>
      <c r="F25" s="16" t="n">
        <f aca="false">F24*(1+$E$6)</f>
        <v>839390.03893966</v>
      </c>
      <c r="G25" s="16" t="n">
        <f aca="false">E25-F25</f>
        <v>872479.984726341</v>
      </c>
      <c r="I25" s="15" t="n">
        <v>12</v>
      </c>
      <c r="J25" s="16" t="n">
        <f aca="false">J24*(1+$E$5)</f>
        <v>1711870.023666</v>
      </c>
      <c r="K25" s="16" t="n">
        <f aca="false">K24*(1+$E$6)</f>
        <v>839390.03893966</v>
      </c>
      <c r="L25" s="16" t="n">
        <f aca="false">J25-K25</f>
        <v>872479.984726341</v>
      </c>
      <c r="M25" s="16" t="n">
        <f aca="false">L25*(1+$E$10)^($I$33-I25)</f>
        <v>2160228.31423668</v>
      </c>
    </row>
    <row r="26" customFormat="false" ht="14.25" hidden="false" customHeight="false" outlineLevel="0" collapsed="false">
      <c r="D26" s="15" t="n">
        <v>13</v>
      </c>
      <c r="E26" s="16" t="n">
        <f aca="false">E25*(1+$E$5)</f>
        <v>1883057.0260326</v>
      </c>
      <c r="F26" s="16" t="n">
        <f aca="false">F25*(1+$E$6)</f>
        <v>906541.242054833</v>
      </c>
      <c r="G26" s="16" t="n">
        <f aca="false">E26-F26</f>
        <v>976515.783977769</v>
      </c>
      <c r="I26" s="15" t="n">
        <v>13</v>
      </c>
      <c r="J26" s="16" t="n">
        <f aca="false">J25*(1+$E$5)</f>
        <v>1883057.0260326</v>
      </c>
      <c r="K26" s="16" t="n">
        <f aca="false">K25*(1+$E$6)</f>
        <v>906541.242054833</v>
      </c>
      <c r="L26" s="16" t="n">
        <f aca="false">J26-K26</f>
        <v>976515.783977769</v>
      </c>
      <c r="M26" s="16" t="n">
        <f aca="false">L26*(1+$E$10)^($I$33-I26)</f>
        <v>2158765.28767823</v>
      </c>
    </row>
    <row r="27" customFormat="false" ht="14.25" hidden="false" customHeight="false" outlineLevel="0" collapsed="false">
      <c r="D27" s="15" t="n">
        <v>14</v>
      </c>
      <c r="E27" s="16" t="n">
        <f aca="false">E26*(1+$E$5)</f>
        <v>2071362.72863586</v>
      </c>
      <c r="F27" s="16" t="n">
        <f aca="false">F26*(1+$E$6)</f>
        <v>979064.54141922</v>
      </c>
      <c r="G27" s="16" t="n">
        <f aca="false">E27-F27</f>
        <v>1092298.18721664</v>
      </c>
      <c r="I27" s="15" t="n">
        <v>14</v>
      </c>
      <c r="J27" s="16" t="n">
        <f aca="false">J26*(1+$E$5)</f>
        <v>2071362.72863586</v>
      </c>
      <c r="K27" s="16" t="n">
        <f aca="false">K26*(1+$E$6)</f>
        <v>979064.54141922</v>
      </c>
      <c r="L27" s="16" t="n">
        <f aca="false">J27-K27</f>
        <v>1092298.18721664</v>
      </c>
      <c r="M27" s="16" t="n">
        <f aca="false">L27*(1+$E$10)^($I$33-I27)</f>
        <v>2156002.94091357</v>
      </c>
    </row>
    <row r="28" customFormat="false" ht="14.25" hidden="false" customHeight="false" outlineLevel="0" collapsed="false">
      <c r="D28" s="15" t="n">
        <v>15</v>
      </c>
      <c r="E28" s="16" t="n">
        <f aca="false">E27*(1+$E$5)</f>
        <v>2278499.00149945</v>
      </c>
      <c r="F28" s="16" t="n">
        <f aca="false">F27*(1+$E$6)</f>
        <v>1057389.70473276</v>
      </c>
      <c r="G28" s="16" t="n">
        <f aca="false">E28-F28</f>
        <v>1221109.29676669</v>
      </c>
      <c r="I28" s="15" t="n">
        <v>15</v>
      </c>
      <c r="J28" s="16" t="n">
        <f aca="false">J27*(1+$E$5)</f>
        <v>2278499.00149945</v>
      </c>
      <c r="K28" s="16" t="n">
        <f aca="false">K27*(1+$E$6)</f>
        <v>1057389.70473276</v>
      </c>
      <c r="L28" s="16" t="n">
        <f aca="false">J28-K28</f>
        <v>1221109.29676669</v>
      </c>
      <c r="M28" s="16" t="n">
        <f aca="false">L28*(1+$E$10)^($I$33-I28)</f>
        <v>2152011.81343498</v>
      </c>
    </row>
    <row r="29" customFormat="false" ht="14.25" hidden="false" customHeight="false" outlineLevel="0" collapsed="false">
      <c r="D29" s="15" t="n">
        <v>16</v>
      </c>
      <c r="E29" s="16" t="n">
        <f aca="false">E28*(1+$E$5)</f>
        <v>2506348.90164939</v>
      </c>
      <c r="F29" s="16" t="n">
        <f aca="false">F28*(1+$E$6)</f>
        <v>1141980.88111138</v>
      </c>
      <c r="G29" s="16" t="n">
        <f aca="false">E29-F29</f>
        <v>1364368.02053802</v>
      </c>
      <c r="I29" s="15" t="n">
        <v>16</v>
      </c>
      <c r="J29" s="16" t="n">
        <f aca="false">J28*(1+$E$5)</f>
        <v>2506348.90164939</v>
      </c>
      <c r="K29" s="16" t="n">
        <f aca="false">K28*(1+$E$6)</f>
        <v>1141980.88111138</v>
      </c>
      <c r="L29" s="16" t="n">
        <f aca="false">J29-K29</f>
        <v>1364368.02053802</v>
      </c>
      <c r="M29" s="16" t="n">
        <f aca="false">L29*(1+$E$10)^($I$33-I29)</f>
        <v>2146859.49448145</v>
      </c>
    </row>
    <row r="30" customFormat="false" ht="14.25" hidden="false" customHeight="false" outlineLevel="0" collapsed="false">
      <c r="D30" s="15" t="n">
        <v>17</v>
      </c>
      <c r="E30" s="16" t="n">
        <f aca="false">E29*(1+$E$5)</f>
        <v>2756983.79181433</v>
      </c>
      <c r="F30" s="16" t="n">
        <f aca="false">F29*(1+$E$6)</f>
        <v>1233339.35160029</v>
      </c>
      <c r="G30" s="16" t="n">
        <f aca="false">E30-F30</f>
        <v>1523644.44021404</v>
      </c>
      <c r="I30" s="15" t="n">
        <v>17</v>
      </c>
      <c r="J30" s="16" t="n">
        <f aca="false">J29*(1+$E$5)</f>
        <v>2756983.79181433</v>
      </c>
      <c r="K30" s="16" t="n">
        <f aca="false">K29*(1+$E$6)</f>
        <v>1233339.35160029</v>
      </c>
      <c r="L30" s="16" t="n">
        <f aca="false">J30-K30</f>
        <v>1523644.44021404</v>
      </c>
      <c r="M30" s="16" t="n">
        <f aca="false">L30*(1+$E$10)^($I$33-I30)</f>
        <v>2140610.73610104</v>
      </c>
    </row>
    <row r="31" customFormat="false" ht="14.25" hidden="false" customHeight="false" outlineLevel="0" collapsed="false">
      <c r="D31" s="15" t="n">
        <v>18</v>
      </c>
      <c r="E31" s="16" t="n">
        <f aca="false">E30*(1+$E$5)</f>
        <v>3032682.17099577</v>
      </c>
      <c r="F31" s="16" t="n">
        <f aca="false">F30*(1+$E$6)</f>
        <v>1332006.49972831</v>
      </c>
      <c r="G31" s="16" t="n">
        <f aca="false">E31-F31</f>
        <v>1700675.67126746</v>
      </c>
      <c r="I31" s="15" t="n">
        <v>18</v>
      </c>
      <c r="J31" s="16" t="n">
        <f aca="false">J30*(1+$E$5)</f>
        <v>3032682.17099577</v>
      </c>
      <c r="K31" s="16" t="n">
        <f aca="false">K30*(1+$E$6)</f>
        <v>1332006.49972831</v>
      </c>
      <c r="L31" s="16" t="n">
        <f aca="false">J31-K31</f>
        <v>1700675.67126746</v>
      </c>
      <c r="M31" s="16" t="n">
        <f aca="false">L31*(1+$E$10)^($I$33-I31)</f>
        <v>2133327.5620379</v>
      </c>
    </row>
    <row r="32" customFormat="false" ht="14.25" hidden="false" customHeight="false" outlineLevel="0" collapsed="false">
      <c r="D32" s="15" t="n">
        <v>19</v>
      </c>
      <c r="E32" s="16" t="n">
        <f aca="false">E31*(1+$E$5)</f>
        <v>3335950.38809534</v>
      </c>
      <c r="F32" s="16" t="n">
        <f aca="false">F31*(1+$E$6)</f>
        <v>1438567.01970658</v>
      </c>
      <c r="G32" s="16" t="n">
        <f aca="false">E32-F32</f>
        <v>1897383.36838877</v>
      </c>
      <c r="I32" s="15" t="n">
        <v>19</v>
      </c>
      <c r="J32" s="16" t="n">
        <f aca="false">J31*(1+$E$5)</f>
        <v>3335950.38809534</v>
      </c>
      <c r="K32" s="16" t="n">
        <f aca="false">K31*(1+$E$6)</f>
        <v>1438567.01970658</v>
      </c>
      <c r="L32" s="16" t="n">
        <f aca="false">J32-K32</f>
        <v>1897383.36838877</v>
      </c>
      <c r="M32" s="16" t="n">
        <f aca="false">L32*(1+$E$10)^($I$33-I32)</f>
        <v>2125069.37259542</v>
      </c>
    </row>
    <row r="33" customFormat="false" ht="14.25" hidden="false" customHeight="false" outlineLevel="0" collapsed="false">
      <c r="D33" s="15" t="n">
        <v>20</v>
      </c>
      <c r="E33" s="16" t="n">
        <f aca="false">E32*(1+$E$5)</f>
        <v>3669545.42690488</v>
      </c>
      <c r="F33" s="16" t="n">
        <f aca="false">F32*(1+$E$6)</f>
        <v>1553652.3812831</v>
      </c>
      <c r="G33" s="16" t="n">
        <f aca="false">E33-F33</f>
        <v>2115893.04562178</v>
      </c>
      <c r="I33" s="15" t="n">
        <v>20</v>
      </c>
      <c r="J33" s="16" t="n">
        <f aca="false">J32*(1+$E$5)</f>
        <v>3669545.42690488</v>
      </c>
      <c r="K33" s="16" t="n">
        <f aca="false">K32*(1+$E$6)</f>
        <v>1553652.3812831</v>
      </c>
      <c r="L33" s="16" t="n">
        <f aca="false">J33-K33</f>
        <v>2115893.04562178</v>
      </c>
      <c r="M33" s="16" t="n">
        <f aca="false">L33*(1+$E$10)^($I$33-I33)</f>
        <v>2115893.04562178</v>
      </c>
    </row>
    <row r="34" customFormat="false" ht="14.25" hidden="false" customHeight="false" outlineLevel="0" collapsed="false">
      <c r="D34" s="17" t="s">
        <v>16</v>
      </c>
      <c r="E34" s="17"/>
      <c r="F34" s="17"/>
      <c r="G34" s="18" t="n">
        <f aca="false">SUM(G14:G33)</f>
        <v>17890692.5486318</v>
      </c>
      <c r="I34" s="17" t="s">
        <v>16</v>
      </c>
      <c r="J34" s="17"/>
      <c r="K34" s="17"/>
      <c r="L34" s="17"/>
      <c r="M34" s="19" t="n">
        <f aca="false">SUM(M14:M33)</f>
        <v>42695770.7736494</v>
      </c>
    </row>
    <row r="35" customFormat="false" ht="14.25" hidden="false" customHeight="false" outlineLevel="0" collapsed="false">
      <c r="D35" s="20" t="s">
        <v>17</v>
      </c>
      <c r="E35" s="20"/>
      <c r="F35" s="20"/>
      <c r="G35" s="21" t="n">
        <f aca="false">G34/10^7</f>
        <v>1.78906925486318</v>
      </c>
      <c r="I35" s="20" t="s">
        <v>18</v>
      </c>
      <c r="J35" s="20"/>
      <c r="K35" s="20"/>
      <c r="L35" s="20"/>
      <c r="M35" s="21" t="n">
        <f aca="false">M34/10^7</f>
        <v>4.26957707736494</v>
      </c>
    </row>
  </sheetData>
  <mergeCells count="10">
    <mergeCell ref="C5:D5"/>
    <mergeCell ref="C6:D6"/>
    <mergeCell ref="C7:D7"/>
    <mergeCell ref="C8:D8"/>
    <mergeCell ref="C9:D9"/>
    <mergeCell ref="C10:D10"/>
    <mergeCell ref="D34:F34"/>
    <mergeCell ref="I34:L34"/>
    <mergeCell ref="D35:F35"/>
    <mergeCell ref="I35:L3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LibreOffice/7.4.6.2$Windows_X86_64 LibreOffice_project/5b1f5509c2decdade7fda905e3e1429a67acd63d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2021-07-01T06:31:40Z</dcterms:created>
  <dc:creator>Admin</dc:creator>
  <dc:description/>
  <dc:language>en-US</dc:language>
  <cp:lastModifiedBy/>
  <dcterms:modified xsi:type="dcterms:W3CDTF">2023-06-25T08:01:52Z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